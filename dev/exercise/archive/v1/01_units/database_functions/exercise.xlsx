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rcises" sheetId="1" state="visible" r:id="rId2"/>
    <sheet name="set_history" sheetId="2" state="visible" r:id="rId3"/>
    <sheet name="analysis" sheetId="3" state="visible" r:id="rId4"/>
    <sheet name="archive_set_history" sheetId="4" state="visible" r:id="rId5"/>
    <sheet name="active_set_goals" sheetId="5" state="visible" r:id="rId6"/>
    <sheet name="planned_sets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<sst xmlns="http://schemas.openxmlformats.org/spreadsheetml/2006/main" count="169" uniqueCount="77">
  <si>
    <t xml:space="preserve">name</t>
  </si>
  <si>
    <t xml:space="preserve">Variation</t>
  </si>
  <si>
    <t xml:space="preserve">muscle_group</t>
  </si>
  <si>
    <t xml:space="preserve">is_warmup_required</t>
  </si>
  <si>
    <t xml:space="preserve">weight</t>
  </si>
  <si>
    <t xml:space="preserve">reps</t>
  </si>
  <si>
    <t xml:space="preserve">rep_range</t>
  </si>
  <si>
    <t xml:space="preserve">rep_increment</t>
  </si>
  <si>
    <t xml:space="preserve">weight_increment</t>
  </si>
  <si>
    <t xml:space="preserve">deload_amount</t>
  </si>
  <si>
    <t xml:space="preserve">failures</t>
  </si>
  <si>
    <t xml:space="preserve">Assisted Pull-Ups</t>
  </si>
  <si>
    <t xml:space="preserve">back</t>
  </si>
  <si>
    <t xml:space="preserve">Back Extensions</t>
  </si>
  <si>
    <t xml:space="preserve">lumbar spine</t>
  </si>
  <si>
    <t xml:space="preserve">Back iso holds</t>
  </si>
  <si>
    <t xml:space="preserve">Back Squat</t>
  </si>
  <si>
    <t xml:space="preserve">legs</t>
  </si>
  <si>
    <t xml:space="preserve">Barbell Bench Press</t>
  </si>
  <si>
    <t xml:space="preserve">chest</t>
  </si>
  <si>
    <t xml:space="preserve">Barbell Strict Overhead Press</t>
  </si>
  <si>
    <t xml:space="preserve">shoulders</t>
  </si>
  <si>
    <t xml:space="preserve">Bench Press – Hypertrophy</t>
  </si>
  <si>
    <t xml:space="preserve">Barbell</t>
  </si>
  <si>
    <t xml:space="preserve">8,10</t>
  </si>
  <si>
    <t xml:space="preserve">Bent-over-barbell row</t>
  </si>
  <si>
    <t xml:space="preserve">Bicep Cable Curls</t>
  </si>
  <si>
    <t xml:space="preserve">Cable</t>
  </si>
  <si>
    <t xml:space="preserve">bicep</t>
  </si>
  <si>
    <t xml:space="preserve">Cable Chest Flys</t>
  </si>
  <si>
    <t xml:space="preserve">Cable Lat Pull-downs</t>
  </si>
  <si>
    <t xml:space="preserve">Dead Bugs</t>
  </si>
  <si>
    <t xml:space="preserve">core</t>
  </si>
  <si>
    <t xml:space="preserve">EZ Bar Bicep Curls</t>
  </si>
  <si>
    <t xml:space="preserve">EZ Bar</t>
  </si>
  <si>
    <t xml:space="preserve">Hanging Knee Raise</t>
  </si>
  <si>
    <t xml:space="preserve">Incline Barbell Bench Press</t>
  </si>
  <si>
    <t xml:space="preserve">Lunges</t>
  </si>
  <si>
    <t xml:space="preserve">plank</t>
  </si>
  <si>
    <t xml:space="preserve">Romanian Deadlift</t>
  </si>
  <si>
    <t xml:space="preserve">Russian Twists</t>
  </si>
  <si>
    <t xml:space="preserve">Seated Cable Row</t>
  </si>
  <si>
    <t xml:space="preserve">Tricep Rope Pushdowns</t>
  </si>
  <si>
    <t xml:space="preserve">tricep</t>
  </si>
  <si>
    <t xml:space="preserve">date</t>
  </si>
  <si>
    <t xml:space="preserve">exercise</t>
  </si>
  <si>
    <t xml:space="preserve">weight_lb</t>
  </si>
  <si>
    <t xml:space="preserve">volume</t>
  </si>
  <si>
    <t xml:space="preserve">calculated_orm</t>
  </si>
  <si>
    <t xml:space="preserve">type</t>
  </si>
  <si>
    <t xml:space="preserve">note</t>
  </si>
  <si>
    <t xml:space="preserve">warmup</t>
  </si>
  <si>
    <t xml:space="preserve">main</t>
  </si>
  <si>
    <t xml:space="preserve">backoff</t>
  </si>
  <si>
    <t xml:space="preserve">Bench Press</t>
  </si>
  <si>
    <t xml:space="preserve">n_sets</t>
  </si>
  <si>
    <t xml:space="preserve">sum_volume</t>
  </si>
  <si>
    <t xml:space="preserve">vol_top_set</t>
  </si>
  <si>
    <t xml:space="preserve">orm_vol_top_set</t>
  </si>
  <si>
    <t xml:space="preserve">orm_top_set</t>
  </si>
  <si>
    <t xml:space="preserve">top_set_calc_orm</t>
  </si>
  <si>
    <t xml:space="preserve">10x55</t>
  </si>
  <si>
    <t xml:space="preserve">15x55</t>
  </si>
  <si>
    <t xml:space="preserve">12x65</t>
  </si>
  <si>
    <t xml:space="preserve">10x40</t>
  </si>
  <si>
    <t xml:space="preserve">5x50</t>
  </si>
  <si>
    <t xml:space="preserve">variation</t>
  </si>
  <si>
    <t xml:space="preserve">Elbow-supported</t>
  </si>
  <si>
    <t xml:space="preserve">Knee-support</t>
  </si>
  <si>
    <t xml:space="preserve">Squat</t>
  </si>
  <si>
    <t xml:space="preserve">Back</t>
  </si>
  <si>
    <t xml:space="preserve">Bodyweight</t>
  </si>
  <si>
    <t xml:space="preserve">sets</t>
  </si>
  <si>
    <t xml:space="preserve">equivalent_orm</t>
  </si>
  <si>
    <t xml:space="preserve">current_orm_pr</t>
  </si>
  <si>
    <t xml:space="preserve">equivalent_volume</t>
  </si>
  <si>
    <t xml:space="preserve">current_volume_pr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</si>
</sst>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TRUE&quot;;&quot;TRUE&quot;;&quot;FALSE&quot;"/>
    <numFmt numFmtId="166" formatCode="yyyy\-mm\-dd"/>
    <numFmt numFmtId="167" formatCode="General"/>
    <numFmt numFmtId="168" formatCode="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27.78"/>
    <col collapsed="false" customWidth="true" hidden="false" outlineLevel="0" max="3" min="2" style="1" width="17.09"/>
    <col collapsed="false" customWidth="true" hidden="false" outlineLevel="0" max="4" min="4" style="1" width="21.11"/>
    <col collapsed="false" customWidth="true" hidden="false" outlineLevel="0" max="5" min="5" style="0" width="9.86"/>
    <col collapsed="false" customWidth="true" hidden="false" outlineLevel="0" max="6" min="6" style="0" width="11.81"/>
    <col collapsed="false" customWidth="true" hidden="false" outlineLevel="0" max="7" min="7" style="0" width="15.96"/>
    <col collapsed="false" customWidth="true" hidden="false" outlineLevel="0" max="8" min="8" style="0" width="16.11"/>
    <col collapsed="false" customWidth="true" hidden="false" outlineLevel="0" max="9" min="9" style="0" width="19.58"/>
    <col collapsed="false" customWidth="true" hidden="false" outlineLevel="0" max="10" min="10" style="0" width="18.77"/>
    <col collapsed="false" customWidth="true" hidden="false" outlineLevel="0" max="11" min="11" style="0" width="9.8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8" hidden="false" customHeight="false" outlineLevel="0" collapsed="false">
      <c r="A2" s="3" t="s">
        <v>11</v>
      </c>
      <c r="C2" s="1" t="s">
        <v>12</v>
      </c>
    </row>
    <row r="3" customFormat="false" ht="12.8" hidden="false" customHeight="false" outlineLevel="0" collapsed="false">
      <c r="A3" s="3" t="s">
        <v>13</v>
      </c>
      <c r="C3" s="1" t="s">
        <v>14</v>
      </c>
    </row>
    <row r="4" customFormat="false" ht="12.8" hidden="false" customHeight="false" outlineLevel="0" collapsed="false">
      <c r="A4" s="3" t="s">
        <v>15</v>
      </c>
      <c r="B4" s="3"/>
      <c r="C4" s="1" t="s">
        <v>14</v>
      </c>
    </row>
    <row r="5" customFormat="false" ht="12.8" hidden="false" customHeight="false" outlineLevel="0" collapsed="false">
      <c r="A5" s="3" t="s">
        <v>16</v>
      </c>
      <c r="C5" s="1" t="s">
        <v>17</v>
      </c>
    </row>
    <row r="6" customFormat="false" ht="12.8" hidden="false" customHeight="false" outlineLevel="0" collapsed="false">
      <c r="A6" s="3" t="s">
        <v>18</v>
      </c>
      <c r="C6" s="1" t="s">
        <v>19</v>
      </c>
      <c r="D6" s="4" t="n">
        <f aca="false">TRUE()</f>
        <v>1</v>
      </c>
    </row>
    <row r="7" customFormat="false" ht="12.8" hidden="false" customHeight="false" outlineLevel="0" collapsed="false">
      <c r="A7" s="3" t="s">
        <v>20</v>
      </c>
      <c r="C7" s="1" t="s">
        <v>21</v>
      </c>
    </row>
    <row r="8" customFormat="false" ht="12.8" hidden="false" customHeight="false" outlineLevel="0" collapsed="false">
      <c r="A8" s="3" t="s">
        <v>22</v>
      </c>
      <c r="B8" s="3" t="s">
        <v>23</v>
      </c>
      <c r="D8" s="4" t="n">
        <f aca="false">TRUE()</f>
        <v>1</v>
      </c>
      <c r="E8" s="1" t="n">
        <v>80</v>
      </c>
      <c r="F8" s="1" t="n">
        <v>10</v>
      </c>
      <c r="G8" s="1" t="s">
        <v>24</v>
      </c>
      <c r="H8" s="1" t="n">
        <v>1</v>
      </c>
      <c r="I8" s="1" t="n">
        <v>5</v>
      </c>
      <c r="J8" s="1" t="n">
        <v>10</v>
      </c>
      <c r="K8" s="1" t="n">
        <v>0</v>
      </c>
    </row>
    <row r="9" customFormat="false" ht="12.8" hidden="false" customHeight="false" outlineLevel="0" collapsed="false">
      <c r="A9" s="3" t="s">
        <v>25</v>
      </c>
      <c r="C9" s="1" t="s">
        <v>12</v>
      </c>
    </row>
    <row r="10" customFormat="false" ht="12.8" hidden="false" customHeight="false" outlineLevel="0" collapsed="false">
      <c r="A10" s="3" t="s">
        <v>26</v>
      </c>
      <c r="B10" s="1" t="s">
        <v>27</v>
      </c>
      <c r="C10" s="1" t="s">
        <v>28</v>
      </c>
    </row>
    <row r="11" customFormat="false" ht="12.8" hidden="false" customHeight="false" outlineLevel="0" collapsed="false">
      <c r="A11" s="3" t="s">
        <v>29</v>
      </c>
      <c r="C11" s="1" t="s">
        <v>19</v>
      </c>
    </row>
    <row r="12" customFormat="false" ht="12.8" hidden="false" customHeight="false" outlineLevel="0" collapsed="false">
      <c r="A12" s="3" t="s">
        <v>30</v>
      </c>
      <c r="C12" s="1" t="s">
        <v>12</v>
      </c>
    </row>
    <row r="13" customFormat="false" ht="12.8" hidden="false" customHeight="false" outlineLevel="0" collapsed="false">
      <c r="A13" s="3" t="s">
        <v>31</v>
      </c>
      <c r="C13" s="1" t="s">
        <v>32</v>
      </c>
    </row>
    <row r="14" customFormat="false" ht="12.8" hidden="false" customHeight="false" outlineLevel="0" collapsed="false">
      <c r="A14" s="3" t="s">
        <v>33</v>
      </c>
      <c r="B14" s="1" t="s">
        <v>34</v>
      </c>
      <c r="C14" s="1" t="s">
        <v>28</v>
      </c>
    </row>
    <row r="15" customFormat="false" ht="12.8" hidden="false" customHeight="false" outlineLevel="0" collapsed="false">
      <c r="A15" s="3" t="s">
        <v>35</v>
      </c>
      <c r="C15" s="1" t="s">
        <v>32</v>
      </c>
    </row>
    <row r="16" customFormat="false" ht="12.8" hidden="false" customHeight="false" outlineLevel="0" collapsed="false">
      <c r="A16" s="3" t="s">
        <v>36</v>
      </c>
      <c r="C16" s="1" t="s">
        <v>19</v>
      </c>
    </row>
    <row r="17" customFormat="false" ht="12.8" hidden="false" customHeight="false" outlineLevel="0" collapsed="false">
      <c r="A17" s="3" t="s">
        <v>37</v>
      </c>
      <c r="C17" s="1" t="s">
        <v>17</v>
      </c>
    </row>
    <row r="18" customFormat="false" ht="12.8" hidden="false" customHeight="false" outlineLevel="0" collapsed="false">
      <c r="A18" s="3" t="s">
        <v>38</v>
      </c>
      <c r="C18" s="1" t="s">
        <v>32</v>
      </c>
    </row>
    <row r="19" customFormat="false" ht="12.8" hidden="false" customHeight="false" outlineLevel="0" collapsed="false">
      <c r="A19" s="3" t="s">
        <v>39</v>
      </c>
      <c r="C19" s="1" t="s">
        <v>17</v>
      </c>
    </row>
    <row r="20" customFormat="false" ht="12.8" hidden="false" customHeight="false" outlineLevel="0" collapsed="false">
      <c r="A20" s="3" t="s">
        <v>40</v>
      </c>
      <c r="C20" s="1" t="s">
        <v>32</v>
      </c>
    </row>
    <row r="21" customFormat="false" ht="12.8" hidden="false" customHeight="false" outlineLevel="0" collapsed="false">
      <c r="A21" s="3" t="s">
        <v>41</v>
      </c>
      <c r="C21" s="1" t="s">
        <v>12</v>
      </c>
    </row>
    <row r="22" customFormat="false" ht="12.8" hidden="false" customHeight="false" outlineLevel="0" collapsed="false">
      <c r="A22" s="3" t="s">
        <v>42</v>
      </c>
      <c r="C22" s="1" t="s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6" activeCellId="0" sqref="F36"/>
    </sheetView>
  </sheetViews>
  <sheetFormatPr defaultColWidth="11.55078125" defaultRowHeight="12.8" zeroHeight="false" outlineLevelRow="0" outlineLevelCol="0"/>
  <cols>
    <col collapsed="false" customWidth="false" hidden="false" outlineLevel="0" max="1" min="1" style="1" width="11.54"/>
    <col collapsed="false" customWidth="true" hidden="false" outlineLevel="0" max="2" min="2" style="1" width="29.03"/>
    <col collapsed="false" customWidth="false" hidden="false" outlineLevel="0" max="4" min="3" style="1" width="11.54"/>
    <col collapsed="false" customWidth="true" hidden="false" outlineLevel="0" max="6" min="5" style="1" width="14.77"/>
    <col collapsed="false" customWidth="false" hidden="false" outlineLevel="0" max="7" min="7" style="1" width="11.54"/>
    <col collapsed="false" customWidth="true" hidden="false" outlineLevel="0" max="8" min="8" style="0" width="7.08"/>
    <col collapsed="false" customWidth="true" hidden="false" outlineLevel="0" max="9" min="9" style="0" width="6.67"/>
    <col collapsed="false" customWidth="true" hidden="false" outlineLevel="0" max="11" min="11" style="0" width="25.6"/>
    <col collapsed="false" customWidth="true" hidden="false" outlineLevel="0" max="17" min="17" style="0" width="16.71"/>
    <col collapsed="false" customWidth="false" hidden="false" outlineLevel="0" max="1020" min="61" style="5" width="11.54"/>
  </cols>
  <sheetData>
    <row r="1" customFormat="false" ht="12.8" hidden="false" customHeight="false" outlineLevel="0" collapsed="false">
      <c r="A1" s="2" t="s">
        <v>44</v>
      </c>
      <c r="B1" s="2" t="s">
        <v>45</v>
      </c>
      <c r="C1" s="2" t="s">
        <v>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R1" s="1"/>
      <c r="S1" s="1"/>
    </row>
    <row r="2" customFormat="false" ht="12.8" hidden="false" customHeight="false" outlineLevel="0" collapsed="false">
      <c r="A2" s="6" t="n">
        <v>45872</v>
      </c>
      <c r="B2" s="1" t="s">
        <v>20</v>
      </c>
      <c r="C2" s="3" t="n">
        <v>12</v>
      </c>
      <c r="D2" s="3" t="n">
        <v>45</v>
      </c>
      <c r="E2" s="7" t="n">
        <f aca="false">D2*C2</f>
        <v>540</v>
      </c>
      <c r="F2" s="8" t="n">
        <f aca="false">D2 * (1+(C2/30))</f>
        <v>63</v>
      </c>
      <c r="G2" s="9" t="s">
        <v>51</v>
      </c>
      <c r="R2" s="1"/>
      <c r="S2" s="1"/>
    </row>
    <row r="3" customFormat="false" ht="12.8" hidden="false" customHeight="false" outlineLevel="0" collapsed="false">
      <c r="A3" s="6" t="n">
        <v>45872</v>
      </c>
      <c r="B3" s="1" t="s">
        <v>20</v>
      </c>
      <c r="C3" s="3" t="n">
        <v>10</v>
      </c>
      <c r="D3" s="3" t="n">
        <v>50</v>
      </c>
      <c r="E3" s="7" t="n">
        <f aca="false">D3*C3</f>
        <v>500</v>
      </c>
      <c r="F3" s="8" t="n">
        <f aca="false">D3 * (1+(C3/30))</f>
        <v>66.6666666666667</v>
      </c>
      <c r="G3" s="3" t="s">
        <v>52</v>
      </c>
      <c r="H3" s="5"/>
    </row>
    <row r="4" customFormat="false" ht="12.8" hidden="false" customHeight="false" outlineLevel="0" collapsed="false">
      <c r="A4" s="6" t="n">
        <v>45872</v>
      </c>
      <c r="B4" s="1" t="s">
        <v>20</v>
      </c>
      <c r="C4" s="3" t="n">
        <v>10</v>
      </c>
      <c r="D4" s="3" t="n">
        <v>55</v>
      </c>
      <c r="E4" s="7" t="n">
        <f aca="false">D4*C4</f>
        <v>550</v>
      </c>
      <c r="F4" s="8" t="n">
        <f aca="false">D4 * (1+(C4/30))</f>
        <v>73.3333333333333</v>
      </c>
      <c r="G4" s="3" t="s">
        <v>52</v>
      </c>
      <c r="H4" s="5"/>
    </row>
    <row r="5" customFormat="false" ht="12.8" hidden="false" customHeight="false" outlineLevel="0" collapsed="false">
      <c r="A5" s="6" t="n">
        <v>45872</v>
      </c>
      <c r="B5" s="1" t="s">
        <v>20</v>
      </c>
      <c r="C5" s="3" t="n">
        <v>8</v>
      </c>
      <c r="D5" s="3" t="n">
        <v>55</v>
      </c>
      <c r="E5" s="7" t="n">
        <f aca="false">D5*C5</f>
        <v>440</v>
      </c>
      <c r="F5" s="8" t="n">
        <f aca="false">D5 * (1+(C5/30))</f>
        <v>69.6666666666667</v>
      </c>
      <c r="G5" s="3" t="s">
        <v>52</v>
      </c>
      <c r="H5" s="5"/>
    </row>
    <row r="6" customFormat="false" ht="12.8" hidden="false" customHeight="false" outlineLevel="0" collapsed="false">
      <c r="A6" s="6" t="n">
        <v>45872</v>
      </c>
      <c r="B6" s="1" t="s">
        <v>20</v>
      </c>
      <c r="C6" s="3" t="n">
        <v>12</v>
      </c>
      <c r="D6" s="3" t="n">
        <v>45</v>
      </c>
      <c r="E6" s="7" t="n">
        <f aca="false">D6*C6</f>
        <v>540</v>
      </c>
      <c r="F6" s="8" t="n">
        <f aca="false">D6 * (1+(C6/30))</f>
        <v>63</v>
      </c>
      <c r="G6" s="3" t="s">
        <v>53</v>
      </c>
      <c r="H6" s="5"/>
    </row>
    <row r="7" customFormat="false" ht="12.8" hidden="false" customHeight="false" outlineLevel="0" collapsed="false">
      <c r="A7" s="6" t="n">
        <v>45872</v>
      </c>
      <c r="B7" s="1" t="s">
        <v>20</v>
      </c>
      <c r="C7" s="3" t="n">
        <v>6</v>
      </c>
      <c r="D7" s="3" t="n">
        <v>45</v>
      </c>
      <c r="E7" s="7" t="n">
        <f aca="false">D7*C7</f>
        <v>270</v>
      </c>
      <c r="F7" s="8" t="n">
        <f aca="false">D7 * (1+(C7/30))</f>
        <v>54</v>
      </c>
      <c r="G7" s="3" t="s">
        <v>53</v>
      </c>
      <c r="H7" s="5"/>
    </row>
    <row r="8" customFormat="false" ht="12.8" hidden="false" customHeight="false" outlineLevel="0" collapsed="false">
      <c r="A8" s="6" t="n">
        <v>45872</v>
      </c>
      <c r="B8" s="3" t="s">
        <v>39</v>
      </c>
      <c r="C8" s="3" t="n">
        <v>12</v>
      </c>
      <c r="D8" s="3" t="n">
        <v>25</v>
      </c>
      <c r="E8" s="7" t="n">
        <f aca="false">D8*C8</f>
        <v>300</v>
      </c>
      <c r="F8" s="8" t="n">
        <f aca="false">D8 * (1+(C8/30))</f>
        <v>35</v>
      </c>
      <c r="G8" s="3"/>
      <c r="H8" s="5"/>
    </row>
    <row r="9" customFormat="false" ht="12.8" hidden="false" customHeight="false" outlineLevel="0" collapsed="false">
      <c r="A9" s="6" t="n">
        <v>45872</v>
      </c>
      <c r="B9" s="3" t="s">
        <v>39</v>
      </c>
      <c r="C9" s="3" t="n">
        <v>10</v>
      </c>
      <c r="D9" s="3" t="n">
        <v>45</v>
      </c>
      <c r="E9" s="7" t="n">
        <f aca="false">D9*C9</f>
        <v>450</v>
      </c>
      <c r="F9" s="8" t="n">
        <f aca="false">D9 * (1+(C9/30))</f>
        <v>60</v>
      </c>
      <c r="G9" s="3"/>
      <c r="H9" s="5"/>
    </row>
    <row r="10" customFormat="false" ht="12.8" hidden="false" customHeight="false" outlineLevel="0" collapsed="false">
      <c r="A10" s="6" t="n">
        <v>45872</v>
      </c>
      <c r="B10" s="3" t="s">
        <v>39</v>
      </c>
      <c r="C10" s="3" t="n">
        <v>12</v>
      </c>
      <c r="D10" s="3" t="n">
        <v>65</v>
      </c>
      <c r="E10" s="7" t="n">
        <f aca="false">D10*C10</f>
        <v>780</v>
      </c>
      <c r="F10" s="8" t="n">
        <f aca="false">D10 * (1+(C10/30))</f>
        <v>91</v>
      </c>
      <c r="G10" s="3"/>
      <c r="H10" s="5"/>
    </row>
    <row r="11" customFormat="false" ht="12.8" hidden="false" customHeight="false" outlineLevel="0" collapsed="false">
      <c r="A11" s="6" t="n">
        <v>45872</v>
      </c>
      <c r="B11" s="3" t="s">
        <v>39</v>
      </c>
      <c r="C11" s="3" t="n">
        <v>12</v>
      </c>
      <c r="D11" s="3" t="n">
        <v>65</v>
      </c>
      <c r="E11" s="7" t="n">
        <f aca="false">D11*C11</f>
        <v>780</v>
      </c>
      <c r="F11" s="8" t="n">
        <f aca="false">D11 * (1+(C11/30))</f>
        <v>91</v>
      </c>
      <c r="G11" s="3"/>
      <c r="H11" s="5"/>
    </row>
    <row r="12" customFormat="false" ht="12.8" hidden="false" customHeight="false" outlineLevel="0" collapsed="false">
      <c r="A12" s="6" t="n">
        <v>45872</v>
      </c>
      <c r="B12" s="3" t="s">
        <v>39</v>
      </c>
      <c r="C12" s="3" t="n">
        <v>12</v>
      </c>
      <c r="D12" s="3" t="n">
        <v>65</v>
      </c>
      <c r="E12" s="7" t="n">
        <f aca="false">D12*C12</f>
        <v>780</v>
      </c>
      <c r="F12" s="8" t="n">
        <f aca="false">D12 * (1+(C12/30))</f>
        <v>91</v>
      </c>
      <c r="G12" s="3"/>
      <c r="H12" s="5"/>
    </row>
    <row r="13" customFormat="false" ht="12.8" hidden="false" customHeight="false" outlineLevel="0" collapsed="false">
      <c r="A13" s="6" t="n">
        <v>45872</v>
      </c>
      <c r="B13" s="3" t="s">
        <v>39</v>
      </c>
      <c r="C13" s="3" t="n">
        <v>15</v>
      </c>
      <c r="D13" s="3" t="n">
        <v>55</v>
      </c>
      <c r="E13" s="7" t="n">
        <f aca="false">D13*C13</f>
        <v>825</v>
      </c>
      <c r="F13" s="8" t="n">
        <f aca="false">D13 * (1+(C13/30))</f>
        <v>82.5</v>
      </c>
      <c r="G13" s="3"/>
      <c r="H13" s="5"/>
    </row>
    <row r="14" customFormat="false" ht="12.8" hidden="false" customHeight="false" outlineLevel="0" collapsed="false">
      <c r="A14" s="6" t="n">
        <v>45872</v>
      </c>
      <c r="B14" s="1" t="s">
        <v>33</v>
      </c>
      <c r="C14" s="3" t="n">
        <v>12</v>
      </c>
      <c r="D14" s="3" t="n">
        <v>20</v>
      </c>
      <c r="E14" s="7" t="n">
        <f aca="false">D14*C14</f>
        <v>240</v>
      </c>
      <c r="F14" s="8" t="n">
        <f aca="false">D14 * (1+(C14/30))</f>
        <v>28</v>
      </c>
      <c r="G14" s="3"/>
      <c r="H14" s="5"/>
    </row>
    <row r="15" customFormat="false" ht="12.8" hidden="false" customHeight="false" outlineLevel="0" collapsed="false">
      <c r="A15" s="6" t="n">
        <v>45872</v>
      </c>
      <c r="B15" s="1" t="s">
        <v>33</v>
      </c>
      <c r="C15" s="3" t="n">
        <v>10</v>
      </c>
      <c r="D15" s="3" t="n">
        <v>30</v>
      </c>
      <c r="E15" s="7" t="n">
        <f aca="false">D15*C15</f>
        <v>300</v>
      </c>
      <c r="F15" s="8" t="n">
        <f aca="false">D15 * (1+(C15/30))</f>
        <v>40</v>
      </c>
      <c r="G15" s="3"/>
      <c r="H15" s="5"/>
    </row>
    <row r="16" customFormat="false" ht="12.8" hidden="false" customHeight="false" outlineLevel="0" collapsed="false">
      <c r="A16" s="6" t="n">
        <v>45872</v>
      </c>
      <c r="B16" s="1" t="s">
        <v>33</v>
      </c>
      <c r="C16" s="3" t="n">
        <v>10</v>
      </c>
      <c r="D16" s="3" t="n">
        <v>40</v>
      </c>
      <c r="E16" s="7" t="n">
        <f aca="false">D16*C16</f>
        <v>400</v>
      </c>
      <c r="F16" s="8" t="n">
        <f aca="false">D16 * (1+(C16/30))</f>
        <v>53.3333333333333</v>
      </c>
      <c r="G16" s="3"/>
      <c r="H16" s="5"/>
    </row>
    <row r="17" customFormat="false" ht="12.8" hidden="false" customHeight="false" outlineLevel="0" collapsed="false">
      <c r="A17" s="6" t="n">
        <v>45872</v>
      </c>
      <c r="B17" s="1" t="s">
        <v>33</v>
      </c>
      <c r="C17" s="3" t="n">
        <v>5</v>
      </c>
      <c r="D17" s="3" t="n">
        <v>50</v>
      </c>
      <c r="E17" s="7" t="n">
        <f aca="false">D17*C17</f>
        <v>250</v>
      </c>
      <c r="F17" s="8" t="n">
        <f aca="false">D17 * (1+(C17/30))</f>
        <v>58.3333333333333</v>
      </c>
      <c r="G17" s="3"/>
      <c r="H17" s="5"/>
    </row>
    <row r="18" customFormat="false" ht="12.8" hidden="false" customHeight="false" outlineLevel="0" collapsed="false">
      <c r="A18" s="6" t="n">
        <v>45872</v>
      </c>
      <c r="B18" s="1" t="s">
        <v>33</v>
      </c>
      <c r="C18" s="3" t="n">
        <v>8</v>
      </c>
      <c r="D18" s="3" t="n">
        <v>40</v>
      </c>
      <c r="E18" s="7" t="n">
        <f aca="false">D18*C18</f>
        <v>320</v>
      </c>
      <c r="F18" s="8" t="n">
        <f aca="false">D18 * (1+(C18/30))</f>
        <v>50.6666666666667</v>
      </c>
      <c r="G18" s="3"/>
      <c r="H18" s="5"/>
    </row>
    <row r="19" customFormat="false" ht="12.8" hidden="false" customHeight="false" outlineLevel="0" collapsed="false">
      <c r="A19" s="6" t="n">
        <v>45872</v>
      </c>
      <c r="B19" s="1" t="s">
        <v>33</v>
      </c>
      <c r="C19" s="3" t="n">
        <v>8</v>
      </c>
      <c r="D19" s="3" t="n">
        <v>30</v>
      </c>
      <c r="E19" s="7" t="n">
        <f aca="false">D19*C19</f>
        <v>240</v>
      </c>
      <c r="F19" s="8" t="n">
        <f aca="false">D19 * (1+(C19/30))</f>
        <v>38</v>
      </c>
      <c r="G19" s="3"/>
      <c r="H19" s="5"/>
    </row>
    <row r="20" customFormat="false" ht="12.8" hidden="false" customHeight="false" outlineLevel="0" collapsed="false">
      <c r="A20" s="6" t="n">
        <v>45870</v>
      </c>
      <c r="B20" s="3" t="s">
        <v>36</v>
      </c>
      <c r="C20" s="3" t="n">
        <v>10</v>
      </c>
      <c r="D20" s="3" t="n">
        <v>45</v>
      </c>
      <c r="E20" s="7" t="n">
        <f aca="false">D20*C20</f>
        <v>450</v>
      </c>
      <c r="F20" s="8" t="n">
        <f aca="false">D20 * (1+(C20/30))</f>
        <v>60</v>
      </c>
      <c r="G20" s="3"/>
      <c r="H20" s="5"/>
    </row>
    <row r="21" customFormat="false" ht="12.8" hidden="false" customHeight="false" outlineLevel="0" collapsed="false">
      <c r="A21" s="6" t="n">
        <v>45870</v>
      </c>
      <c r="B21" s="3" t="s">
        <v>36</v>
      </c>
      <c r="C21" s="3" t="n">
        <v>7</v>
      </c>
      <c r="D21" s="3" t="n">
        <v>75</v>
      </c>
      <c r="E21" s="7" t="n">
        <f aca="false">D21*C21</f>
        <v>525</v>
      </c>
      <c r="F21" s="8" t="n">
        <f aca="false">D21 * (1+(C21/30))</f>
        <v>92.5</v>
      </c>
      <c r="G21" s="3"/>
      <c r="H21" s="5"/>
    </row>
    <row r="22" customFormat="false" ht="12.8" hidden="false" customHeight="false" outlineLevel="0" collapsed="false">
      <c r="A22" s="6" t="n">
        <v>45870</v>
      </c>
      <c r="B22" s="3" t="s">
        <v>36</v>
      </c>
      <c r="C22" s="3" t="n">
        <v>3</v>
      </c>
      <c r="D22" s="3" t="n">
        <v>100</v>
      </c>
      <c r="E22" s="7" t="n">
        <f aca="false">D22*C22</f>
        <v>300</v>
      </c>
      <c r="F22" s="8" t="n">
        <f aca="false">D22 * (1+(C22/30))</f>
        <v>110</v>
      </c>
      <c r="G22" s="3"/>
      <c r="H22" s="5"/>
    </row>
    <row r="23" customFormat="false" ht="12.8" hidden="false" customHeight="false" outlineLevel="0" collapsed="false">
      <c r="A23" s="6" t="n">
        <v>45870</v>
      </c>
      <c r="B23" s="3" t="s">
        <v>36</v>
      </c>
      <c r="C23" s="1" t="n">
        <v>6</v>
      </c>
      <c r="D23" s="1" t="n">
        <v>110</v>
      </c>
      <c r="E23" s="7" t="n">
        <f aca="false">D23*C23</f>
        <v>660</v>
      </c>
      <c r="F23" s="8" t="n">
        <f aca="false">D23 * (1+(C23/30))</f>
        <v>132</v>
      </c>
      <c r="G23" s="0"/>
    </row>
    <row r="24" customFormat="false" ht="12.8" hidden="false" customHeight="false" outlineLevel="0" collapsed="false">
      <c r="A24" s="6" t="n">
        <v>45870</v>
      </c>
      <c r="B24" s="3" t="s">
        <v>36</v>
      </c>
      <c r="C24" s="1" t="n">
        <v>6</v>
      </c>
      <c r="D24" s="1" t="n">
        <v>110</v>
      </c>
      <c r="E24" s="7" t="n">
        <f aca="false">D24*C24</f>
        <v>660</v>
      </c>
      <c r="F24" s="8" t="n">
        <f aca="false">D24 * (1+(C24/30))</f>
        <v>132</v>
      </c>
      <c r="G24" s="0"/>
    </row>
    <row r="25" customFormat="false" ht="12.8" hidden="false" customHeight="false" outlineLevel="0" collapsed="false">
      <c r="A25" s="6" t="n">
        <v>45870</v>
      </c>
      <c r="B25" s="3" t="s">
        <v>36</v>
      </c>
      <c r="C25" s="1" t="n">
        <v>10</v>
      </c>
      <c r="D25" s="1" t="n">
        <v>75</v>
      </c>
      <c r="E25" s="7" t="n">
        <f aca="false">D25*C25</f>
        <v>750</v>
      </c>
      <c r="F25" s="8" t="n">
        <f aca="false">D25 * (1+(C25/30))</f>
        <v>100</v>
      </c>
      <c r="G25" s="0"/>
    </row>
    <row r="26" customFormat="false" ht="12.8" hidden="false" customHeight="false" outlineLevel="0" collapsed="false">
      <c r="A26" s="6" t="n">
        <v>45870</v>
      </c>
      <c r="B26" s="3" t="s">
        <v>36</v>
      </c>
      <c r="C26" s="1" t="n">
        <v>8</v>
      </c>
      <c r="D26" s="1" t="n">
        <v>95</v>
      </c>
      <c r="E26" s="7" t="n">
        <f aca="false">D26*C26</f>
        <v>760</v>
      </c>
      <c r="F26" s="8" t="n">
        <f aca="false">D26 * (1+(C26/30))</f>
        <v>120.333333333333</v>
      </c>
      <c r="G26" s="0"/>
    </row>
    <row r="27" customFormat="false" ht="12.8" hidden="false" customHeight="false" outlineLevel="0" collapsed="false">
      <c r="A27" s="10" t="n">
        <v>45866</v>
      </c>
      <c r="B27" s="1" t="s">
        <v>54</v>
      </c>
      <c r="C27" s="1" t="n">
        <v>10</v>
      </c>
      <c r="D27" s="1" t="n">
        <v>45</v>
      </c>
      <c r="E27" s="7" t="n">
        <f aca="false">D27*C27</f>
        <v>450</v>
      </c>
      <c r="F27" s="8" t="n">
        <f aca="false">D27 * (1+(C27/30))</f>
        <v>60</v>
      </c>
      <c r="G27" s="0"/>
    </row>
    <row r="28" customFormat="false" ht="12.8" hidden="false" customHeight="false" outlineLevel="0" collapsed="false">
      <c r="A28" s="10" t="n">
        <v>45866</v>
      </c>
      <c r="B28" s="1" t="s">
        <v>54</v>
      </c>
      <c r="C28" s="1" t="n">
        <v>11</v>
      </c>
      <c r="D28" s="1" t="n">
        <v>60</v>
      </c>
      <c r="E28" s="7" t="n">
        <f aca="false">D28*C28</f>
        <v>660</v>
      </c>
      <c r="F28" s="8" t="n">
        <f aca="false">D28 * (1+(C28/30))</f>
        <v>82</v>
      </c>
      <c r="G28" s="0"/>
    </row>
    <row r="29" customFormat="false" ht="12.8" hidden="false" customHeight="false" outlineLevel="0" collapsed="false">
      <c r="A29" s="10" t="n">
        <v>45866</v>
      </c>
      <c r="B29" s="1" t="s">
        <v>54</v>
      </c>
      <c r="C29" s="1" t="n">
        <v>10</v>
      </c>
      <c r="D29" s="1" t="n">
        <v>80</v>
      </c>
      <c r="E29" s="7" t="n">
        <f aca="false">D29*C29</f>
        <v>800</v>
      </c>
      <c r="F29" s="8" t="n">
        <f aca="false">D29 * (1+(C29/30))</f>
        <v>106.666666666667</v>
      </c>
      <c r="G29" s="0"/>
    </row>
    <row r="30" customFormat="false" ht="12.8" hidden="false" customHeight="false" outlineLevel="0" collapsed="false">
      <c r="A30" s="10" t="n">
        <v>45866</v>
      </c>
      <c r="B30" s="1" t="s">
        <v>54</v>
      </c>
      <c r="C30" s="1" t="n">
        <v>10</v>
      </c>
      <c r="D30" s="1" t="n">
        <v>80</v>
      </c>
      <c r="E30" s="7" t="n">
        <f aca="false">D30*C30</f>
        <v>800</v>
      </c>
      <c r="F30" s="8" t="n">
        <f aca="false">D30 * (1+(C30/30))</f>
        <v>106.666666666667</v>
      </c>
      <c r="G30" s="0"/>
    </row>
    <row r="31" customFormat="false" ht="12.8" hidden="false" customHeight="false" outlineLevel="0" collapsed="false">
      <c r="A31" s="10" t="n">
        <v>45866</v>
      </c>
      <c r="B31" s="1" t="s">
        <v>54</v>
      </c>
      <c r="C31" s="1" t="n">
        <v>7</v>
      </c>
      <c r="D31" s="1" t="n">
        <v>80</v>
      </c>
      <c r="E31" s="7" t="n">
        <f aca="false">D31*C31</f>
        <v>560</v>
      </c>
      <c r="F31" s="8" t="n">
        <f aca="false">D31 * (1+(C31/30))</f>
        <v>98.6666666666667</v>
      </c>
    </row>
    <row r="32" customFormat="false" ht="12.8" hidden="false" customHeight="false" outlineLevel="0" collapsed="false">
      <c r="A32" s="10" t="n">
        <v>45866</v>
      </c>
      <c r="B32" s="1" t="s">
        <v>54</v>
      </c>
      <c r="C32" s="1" t="n">
        <v>7</v>
      </c>
      <c r="D32" s="1" t="n">
        <v>65</v>
      </c>
      <c r="E32" s="7" t="n">
        <f aca="false">D32*C32</f>
        <v>455</v>
      </c>
      <c r="F32" s="8" t="n">
        <f aca="false">D32 * (1+(C32/30))</f>
        <v>80.1666666666667</v>
      </c>
    </row>
    <row r="33" customFormat="false" ht="12.8" hidden="false" customHeight="false" outlineLevel="0" collapsed="false">
      <c r="A33" s="6" t="n">
        <v>45870</v>
      </c>
      <c r="B33" s="1" t="s">
        <v>41</v>
      </c>
      <c r="C33" s="1" t="n">
        <v>9</v>
      </c>
      <c r="D33" s="1" t="n">
        <v>60</v>
      </c>
      <c r="E33" s="7" t="n">
        <f aca="false">D33*C33</f>
        <v>540</v>
      </c>
      <c r="F33" s="8" t="n">
        <f aca="false">D33 * (1+(C33/30))</f>
        <v>78</v>
      </c>
      <c r="G33" s="1" t="s">
        <v>51</v>
      </c>
    </row>
    <row r="34" customFormat="false" ht="12.8" hidden="false" customHeight="false" outlineLevel="0" collapsed="false">
      <c r="A34" s="6" t="n">
        <v>45870</v>
      </c>
      <c r="B34" s="1" t="s">
        <v>41</v>
      </c>
      <c r="C34" s="1" t="n">
        <v>6</v>
      </c>
      <c r="D34" s="1" t="n">
        <v>60</v>
      </c>
      <c r="E34" s="7" t="n">
        <f aca="false">D34*C34</f>
        <v>360</v>
      </c>
      <c r="F34" s="8" t="n">
        <f aca="false">D34 * (1+(C34/30))</f>
        <v>72</v>
      </c>
      <c r="G34" s="1" t="s">
        <v>51</v>
      </c>
    </row>
    <row r="35" customFormat="false" ht="12.8" hidden="false" customHeight="false" outlineLevel="0" collapsed="false">
      <c r="A35" s="6" t="n">
        <v>45870</v>
      </c>
      <c r="B35" s="1" t="s">
        <v>41</v>
      </c>
      <c r="C35" s="1" t="n">
        <v>3</v>
      </c>
      <c r="D35" s="1" t="n">
        <v>120</v>
      </c>
      <c r="E35" s="7" t="n">
        <f aca="false">D35*C35</f>
        <v>360</v>
      </c>
      <c r="F35" s="8" t="n">
        <f aca="false">D35 * (1+(C35/30))</f>
        <v>132</v>
      </c>
      <c r="G35" s="1" t="s">
        <v>51</v>
      </c>
    </row>
    <row r="36" customFormat="false" ht="12.8" hidden="false" customHeight="false" outlineLevel="0" collapsed="false">
      <c r="A36" s="6" t="n">
        <v>45870</v>
      </c>
      <c r="B36" s="1" t="s">
        <v>41</v>
      </c>
      <c r="C36" s="1" t="n">
        <v>6</v>
      </c>
      <c r="D36" s="1" t="n">
        <v>130</v>
      </c>
      <c r="E36" s="7" t="n">
        <f aca="false">D36*C36</f>
        <v>780</v>
      </c>
      <c r="F36" s="8" t="n">
        <f aca="false">D36 * (1+(C36/30))</f>
        <v>156</v>
      </c>
      <c r="G36" s="1" t="s">
        <v>52</v>
      </c>
    </row>
    <row r="37" customFormat="false" ht="12.8" hidden="false" customHeight="false" outlineLevel="0" collapsed="false">
      <c r="A37" s="6" t="n">
        <v>45870</v>
      </c>
      <c r="B37" s="1" t="s">
        <v>41</v>
      </c>
      <c r="C37" s="1" t="n">
        <v>6</v>
      </c>
      <c r="D37" s="1" t="n">
        <v>130</v>
      </c>
      <c r="E37" s="7" t="n">
        <f aca="false">D37*C37</f>
        <v>780</v>
      </c>
      <c r="F37" s="8" t="n">
        <f aca="false">D37 * (1+(C37/30))</f>
        <v>156</v>
      </c>
      <c r="G37" s="1" t="s">
        <v>52</v>
      </c>
    </row>
    <row r="38" customFormat="false" ht="12.8" hidden="false" customHeight="false" outlineLevel="0" collapsed="false">
      <c r="A38" s="6" t="n">
        <v>45870</v>
      </c>
      <c r="B38" s="1" t="s">
        <v>41</v>
      </c>
      <c r="C38" s="1" t="n">
        <v>12</v>
      </c>
      <c r="D38" s="1" t="n">
        <v>70</v>
      </c>
      <c r="E38" s="7" t="n">
        <f aca="false">D38*C38</f>
        <v>840</v>
      </c>
      <c r="F38" s="8" t="n">
        <f aca="false">D38 * (1+(C38/30))</f>
        <v>98</v>
      </c>
      <c r="G38" s="1" t="s">
        <v>53</v>
      </c>
    </row>
    <row r="39" customFormat="false" ht="12.8" hidden="false" customHeight="false" outlineLevel="0" collapsed="false">
      <c r="A39" s="6" t="n">
        <v>45870</v>
      </c>
      <c r="B39" s="1" t="s">
        <v>41</v>
      </c>
      <c r="C39" s="1" t="n">
        <v>12</v>
      </c>
      <c r="D39" s="1" t="n">
        <v>80</v>
      </c>
      <c r="E39" s="7" t="n">
        <f aca="false">D39*C39</f>
        <v>960</v>
      </c>
      <c r="F39" s="8" t="n">
        <f aca="false">D39 * (1+(C39/30))</f>
        <v>112</v>
      </c>
      <c r="G39" s="1" t="s">
        <v>53</v>
      </c>
    </row>
    <row r="40" customFormat="false" ht="12.8" hidden="false" customHeight="false" outlineLevel="0" collapsed="false">
      <c r="A40" s="6" t="n">
        <v>45870</v>
      </c>
      <c r="B40" s="1" t="s">
        <v>41</v>
      </c>
      <c r="C40" s="1" t="n">
        <v>12</v>
      </c>
      <c r="D40" s="1" t="n">
        <v>90</v>
      </c>
      <c r="E40" s="7" t="n">
        <f aca="false">D40*C40</f>
        <v>1080</v>
      </c>
      <c r="F40" s="8" t="n">
        <f aca="false">D40 * (1+(C40/30))</f>
        <v>126</v>
      </c>
      <c r="G40" s="1" t="s">
        <v>53</v>
      </c>
    </row>
    <row r="41" customFormat="false" ht="12.8" hidden="false" customHeight="false" outlineLevel="0" collapsed="false">
      <c r="A41" s="6" t="n">
        <v>45870</v>
      </c>
      <c r="B41" s="1" t="s">
        <v>41</v>
      </c>
      <c r="C41" s="1" t="n">
        <v>7</v>
      </c>
      <c r="D41" s="1" t="n">
        <v>100</v>
      </c>
      <c r="E41" s="7" t="n">
        <f aca="false">D41*C41</f>
        <v>700</v>
      </c>
      <c r="F41" s="8" t="n">
        <f aca="false">D41 * (1+(C41/30))</f>
        <v>123.333333333333</v>
      </c>
      <c r="G41" s="1" t="s">
        <v>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0.46"/>
    <col collapsed="false" customWidth="true" hidden="false" outlineLevel="0" max="2" min="2" style="0" width="25.6"/>
    <col collapsed="false" customWidth="true" hidden="false" outlineLevel="0" max="3" min="3" style="0" width="7.13"/>
    <col collapsed="false" customWidth="true" hidden="false" outlineLevel="0" max="4" min="4" style="0" width="12.68"/>
    <col collapsed="false" customWidth="true" hidden="false" outlineLevel="0" max="5" min="5" style="0" width="11.43"/>
    <col collapsed="false" customWidth="true" hidden="false" outlineLevel="0" max="6" min="6" style="0" width="15.88"/>
    <col collapsed="false" customWidth="true" hidden="false" outlineLevel="0" max="7" min="7" style="0" width="12.27"/>
    <col collapsed="false" customWidth="true" hidden="false" outlineLevel="0" max="8" min="8" style="0" width="16.71"/>
  </cols>
  <sheetData>
    <row r="1" customFormat="false" ht="12.8" hidden="false" customHeight="false" outlineLevel="0" collapsed="false">
      <c r="A1" s="2" t="s">
        <v>44</v>
      </c>
      <c r="B1" s="2" t="s">
        <v>45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</row>
    <row r="2" customFormat="false" ht="12.8" hidden="false" customHeight="false" outlineLevel="0" collapsed="false">
      <c r="A2" s="6" t="n">
        <v>45872</v>
      </c>
      <c r="B2" s="1" t="s">
        <v>20</v>
      </c>
      <c r="C2" s="1" t="n">
        <v>6</v>
      </c>
      <c r="D2" s="1" t="n">
        <f aca="false">SUM(set_history!E2:E7)</f>
        <v>2840</v>
      </c>
      <c r="E2" s="1" t="s">
        <v>61</v>
      </c>
      <c r="F2" s="1" t="n">
        <v>73</v>
      </c>
      <c r="G2" s="1" t="s">
        <v>61</v>
      </c>
      <c r="H2" s="1" t="n">
        <v>73</v>
      </c>
    </row>
    <row r="3" customFormat="false" ht="12.8" hidden="false" customHeight="false" outlineLevel="0" collapsed="false">
      <c r="A3" s="6" t="n">
        <v>45872</v>
      </c>
      <c r="B3" s="3" t="s">
        <v>39</v>
      </c>
      <c r="C3" s="1" t="n">
        <v>6</v>
      </c>
      <c r="D3" s="1" t="n">
        <f aca="false">SUM(set_history!E8:E13)</f>
        <v>3915</v>
      </c>
      <c r="E3" s="1" t="s">
        <v>62</v>
      </c>
      <c r="F3" s="1" t="n">
        <v>83</v>
      </c>
      <c r="G3" s="1" t="s">
        <v>63</v>
      </c>
      <c r="H3" s="1" t="n">
        <v>91</v>
      </c>
    </row>
    <row r="4" customFormat="false" ht="12.8" hidden="false" customHeight="false" outlineLevel="0" collapsed="false">
      <c r="A4" s="6" t="n">
        <v>45872</v>
      </c>
      <c r="B4" s="3" t="s">
        <v>39</v>
      </c>
      <c r="C4" s="1" t="n">
        <v>6</v>
      </c>
      <c r="D4" s="1" t="n">
        <f aca="false">SUM(set_history!E14:E19)</f>
        <v>1750</v>
      </c>
      <c r="E4" s="1" t="s">
        <v>64</v>
      </c>
      <c r="F4" s="1" t="n">
        <v>53</v>
      </c>
      <c r="G4" s="1" t="s">
        <v>65</v>
      </c>
      <c r="H4" s="1" t="n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7" activeCellId="0" sqref="K17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0.46"/>
    <col collapsed="false" customWidth="true" hidden="false" outlineLevel="0" max="2" min="2" style="0" width="17.96"/>
    <col collapsed="false" customWidth="true" hidden="false" outlineLevel="0" max="3" min="3" style="0" width="14.88"/>
    <col collapsed="false" customWidth="true" hidden="false" outlineLevel="0" max="4" min="4" style="0" width="5.32"/>
    <col collapsed="false" customWidth="true" hidden="false" outlineLevel="0" max="5" min="5" style="0" width="9.91"/>
    <col collapsed="false" customWidth="true" hidden="false" outlineLevel="0" max="6" min="6" style="0" width="7.95"/>
    <col collapsed="false" customWidth="true" hidden="false" outlineLevel="0" max="7" min="7" style="0" width="14.77"/>
    <col collapsed="false" customWidth="true" hidden="false" outlineLevel="0" max="8" min="8" style="0" width="10.88"/>
  </cols>
  <sheetData>
    <row r="1" customFormat="false" ht="12.8" hidden="false" customHeight="false" outlineLevel="0" collapsed="false">
      <c r="A1" s="2" t="s">
        <v>44</v>
      </c>
      <c r="B1" s="2" t="s">
        <v>45</v>
      </c>
      <c r="C1" s="2" t="s">
        <v>66</v>
      </c>
      <c r="D1" s="2" t="s">
        <v>5</v>
      </c>
      <c r="E1" s="2" t="s">
        <v>46</v>
      </c>
      <c r="F1" s="2" t="s">
        <v>47</v>
      </c>
      <c r="G1" s="2" t="s">
        <v>48</v>
      </c>
      <c r="H1" s="2" t="s">
        <v>50</v>
      </c>
    </row>
    <row r="2" customFormat="false" ht="12.8" hidden="false" customHeight="false" outlineLevel="0" collapsed="false">
      <c r="A2" s="10" t="n">
        <v>45853</v>
      </c>
      <c r="B2" s="1" t="s">
        <v>35</v>
      </c>
      <c r="C2" s="1" t="s">
        <v>67</v>
      </c>
      <c r="D2" s="1" t="n">
        <v>10</v>
      </c>
      <c r="E2" s="1"/>
      <c r="F2" s="1"/>
      <c r="G2" s="1"/>
      <c r="H2" s="1"/>
    </row>
    <row r="3" customFormat="false" ht="12.8" hidden="false" customHeight="false" outlineLevel="0" collapsed="false">
      <c r="A3" s="10" t="n">
        <v>45853</v>
      </c>
      <c r="B3" s="3" t="s">
        <v>35</v>
      </c>
      <c r="C3" s="3" t="s">
        <v>68</v>
      </c>
      <c r="D3" s="3" t="n">
        <v>10</v>
      </c>
      <c r="E3" s="1"/>
      <c r="F3" s="1"/>
      <c r="G3" s="1"/>
      <c r="H3" s="1"/>
    </row>
    <row r="4" customFormat="false" ht="12.8" hidden="false" customHeight="false" outlineLevel="0" collapsed="false">
      <c r="A4" s="10" t="n">
        <v>45853</v>
      </c>
      <c r="B4" s="3" t="s">
        <v>35</v>
      </c>
      <c r="C4" s="3" t="s">
        <v>67</v>
      </c>
      <c r="D4" s="3" t="n">
        <v>8</v>
      </c>
      <c r="E4" s="1"/>
      <c r="F4" s="1"/>
      <c r="G4" s="1"/>
      <c r="H4" s="1"/>
    </row>
    <row r="5" customFormat="false" ht="12.8" hidden="false" customHeight="false" outlineLevel="0" collapsed="false">
      <c r="A5" s="10" t="n">
        <v>45853</v>
      </c>
      <c r="B5" s="1" t="s">
        <v>13</v>
      </c>
      <c r="C5" s="1"/>
      <c r="D5" s="1" t="n">
        <v>6</v>
      </c>
      <c r="E5" s="1"/>
      <c r="F5" s="1"/>
      <c r="G5" s="1"/>
      <c r="H5" s="1"/>
    </row>
    <row r="6" customFormat="false" ht="12.8" hidden="false" customHeight="false" outlineLevel="0" collapsed="false">
      <c r="A6" s="10" t="n">
        <v>45853</v>
      </c>
      <c r="B6" s="1" t="s">
        <v>69</v>
      </c>
      <c r="C6" s="1" t="s">
        <v>70</v>
      </c>
      <c r="D6" s="1" t="n">
        <v>6</v>
      </c>
      <c r="E6" s="1"/>
      <c r="F6" s="1"/>
      <c r="G6" s="1"/>
      <c r="H6" s="1" t="s">
        <v>71</v>
      </c>
    </row>
    <row r="7" customFormat="false" ht="12.8" hidden="false" customHeight="false" outlineLevel="0" collapsed="false">
      <c r="A7" s="10" t="n">
        <v>45853</v>
      </c>
      <c r="B7" s="3" t="s">
        <v>69</v>
      </c>
      <c r="C7" s="3" t="s">
        <v>70</v>
      </c>
      <c r="D7" s="3" t="n">
        <v>6</v>
      </c>
      <c r="E7" s="3" t="n">
        <v>45</v>
      </c>
      <c r="F7" s="3"/>
      <c r="G7" s="1"/>
      <c r="H7" s="1"/>
    </row>
    <row r="8" customFormat="false" ht="12.8" hidden="false" customHeight="false" outlineLevel="0" collapsed="false">
      <c r="A8" s="10" t="n">
        <v>45853</v>
      </c>
      <c r="B8" s="3" t="s">
        <v>69</v>
      </c>
      <c r="C8" s="3" t="s">
        <v>70</v>
      </c>
      <c r="D8" s="3" t="n">
        <v>6</v>
      </c>
      <c r="E8" s="3" t="n">
        <v>65</v>
      </c>
      <c r="F8" s="3"/>
      <c r="G8" s="1"/>
      <c r="H8" s="1"/>
    </row>
    <row r="9" customFormat="false" ht="12.8" hidden="false" customHeight="false" outlineLevel="0" collapsed="false">
      <c r="A9" s="10" t="n">
        <v>45853</v>
      </c>
      <c r="B9" s="3" t="s">
        <v>69</v>
      </c>
      <c r="C9" s="3" t="s">
        <v>70</v>
      </c>
      <c r="D9" s="3" t="n">
        <v>6</v>
      </c>
      <c r="E9" s="3" t="n">
        <v>65</v>
      </c>
      <c r="F9" s="3"/>
      <c r="G9" s="1"/>
      <c r="H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5.6"/>
    <col collapsed="false" customWidth="true" hidden="false" outlineLevel="0" max="2" min="2" style="1" width="5.04"/>
    <col collapsed="false" customWidth="true" hidden="false" outlineLevel="0" max="3" min="3" style="1" width="5.32"/>
    <col collapsed="false" customWidth="false" hidden="false" outlineLevel="0" max="4" min="4" style="1" width="11.52"/>
    <col collapsed="false" customWidth="true" hidden="false" outlineLevel="0" max="5" min="5" style="1" width="16.81"/>
    <col collapsed="false" customWidth="true" hidden="false" outlineLevel="0" max="6" min="6" style="0" width="14.88"/>
    <col collapsed="false" customWidth="true" hidden="false" outlineLevel="0" max="8" min="7" style="0" width="17.83"/>
  </cols>
  <sheetData>
    <row r="1" customFormat="false" ht="12.8" hidden="false" customHeight="false" outlineLevel="0" collapsed="false">
      <c r="A1" s="2" t="s">
        <v>45</v>
      </c>
      <c r="B1" s="2" t="s">
        <v>72</v>
      </c>
      <c r="C1" s="2" t="s">
        <v>5</v>
      </c>
      <c r="D1" s="2" t="s">
        <v>46</v>
      </c>
      <c r="E1" s="2" t="s">
        <v>73</v>
      </c>
      <c r="F1" s="2" t="s">
        <v>74</v>
      </c>
      <c r="G1" s="11" t="s">
        <v>75</v>
      </c>
      <c r="H1" s="2" t="s">
        <v>76</v>
      </c>
    </row>
    <row r="2" customFormat="false" ht="12.8" hidden="false" customHeight="false" outlineLevel="0" collapsed="false">
      <c r="A2" s="1" t="s">
        <v>20</v>
      </c>
      <c r="B2" s="1" t="n">
        <v>3</v>
      </c>
      <c r="C2" s="3" t="n">
        <v>10</v>
      </c>
      <c r="D2" s="3" t="n">
        <v>55</v>
      </c>
      <c r="E2" s="1" t="n">
        <v>73</v>
      </c>
      <c r="F2" s="1" t="n">
        <v>73</v>
      </c>
      <c r="G2" s="1" t="n">
        <f aca="false">B2*C2*D2</f>
        <v>1650</v>
      </c>
      <c r="H2" s="1" t="n">
        <v>1490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3603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2025-07-21T09:50:28Z</dcterms:created>
  <dc:creator/>
  <dc:description/>
  <dc:language>en-US</dc:language>
  <cp:lastModifiedBy/>
  <dcterms:modified xsi:type="dcterms:W3CDTF">2025-08-25T14:33:13Z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